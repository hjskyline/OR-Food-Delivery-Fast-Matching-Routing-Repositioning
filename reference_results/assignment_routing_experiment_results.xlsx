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961a341e3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bf8d7f33e14c11"/>
    <x:sheet xmlns:r="http://schemas.openxmlformats.org/officeDocument/2006/relationships" name="Algorithm Diagnostics" sheetId="2" r:id="Rf4b24895e5ac4b07"/>
    <x:sheet xmlns:r="http://schemas.openxmlformats.org/officeDocument/2006/relationships" name="Configuration &amp; Sources" sheetId="3" r:id="R11dc3d077769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#,##0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8324A"/>
      <x:name val="Carlito"/>
    </x:font>
    <x:font>
      <x:sz val="10"/>
      <x:color rgb="FF18324A"/>
      <x:name val="Carlito"/>
    </x:font>
    <x:font>
      <x:sz val="9"/>
      <x:color rgb="FF18324A"/>
      <x:name val="Carlito"/>
    </x:font>
    <x:font>
      <x:i/>
      <x:sz val="10"/>
      <x:color rgb="FF5D6B7A"/>
      <x:name val="Carlito"/>
    </x:font>
    <x:font>
      <x:b/>
      <x:sz val="11"/>
      <x:color rgb="FFFFFFFF"/>
      <x:name val="Carlito"/>
    </x:font>
    <x:font>
      <x:b/>
      <x:sz val="10"/>
      <x:color rgb="FF24613A"/>
      <x:name val="Carlito"/>
    </x:font>
    <x:font>
      <x:i/>
      <x:sz val="11"/>
      <x:color rgb="FF183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6B"/>
      </x:patternFill>
    </x:fill>
    <x:fill>
      <x:patternFill patternType="solid">
        <x:fgColor rgb="FFEAF2FB"/>
      </x:patternFill>
    </x:fill>
    <x:fill>
      <x:patternFill patternType="solid">
        <x:fgColor rgb="FFFFF3D6"/>
      </x:patternFill>
    </x:fill>
    <x:fill>
      <x:patternFill patternType="solid">
        <x:fgColor rgb="FF1F5A9D"/>
      </x:patternFill>
    </x:fill>
    <x:fill>
      <x:patternFill patternType="solid">
        <x:fgColor rgb="FFE8F4EC"/>
      </x:patternFill>
    </x:fill>
  </x:fills>
  <x:borders count="7">
    <x:border/>
    <x:border>
      <x:bottom style="medium">
        <x:color rgb="FF1F5A9D"/>
      </x:bottom>
    </x:border>
    <x:border>
      <x:bottom style="thin">
        <x:color rgb="FFCFD9E6"/>
      </x:bottom>
    </x:border>
    <x:border>
      <x:top style="thin">
        <x:color rgb="FFCFD9E6"/>
      </x:top>
      <x:bottom style="thin">
        <x:color rgb="FFCFD9E6"/>
      </x:bottom>
    </x:border>
    <x:border>
      <x:left style="thin">
        <x:color rgb="FFE1BA55"/>
      </x:left>
      <x:top style="thin">
        <x:color rgb="FFE1BA55"/>
      </x:top>
      <x:bottom style="thin">
        <x:color rgb="FFE1BA55"/>
      </x:bottom>
    </x:border>
    <x:border>
      <x:top style="thin">
        <x:color rgb="FFE1BA55"/>
      </x:top>
      <x:bottom style="thin">
        <x:color rgb="FFE1BA55"/>
      </x:bottom>
    </x:border>
    <x:border>
      <x:right style="thin">
        <x:color rgb="FFE1BA55"/>
      </x:right>
      <x:top style="thin">
        <x:color rgb="FFE1BA55"/>
      </x:top>
      <x:bottom style="thin">
        <x:color rgb="FFE1BA55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7" fillId="6" borderId="3" xfId="0" applyNumberFormat="1" applyFont="1" applyFill="1" applyBorder="1" applyAlignment="1">
      <x:alignment vertical="center"/>
    </x:xf>
    <x:xf numFmtId="201" fontId="7" fillId="6" borderId="2" xfId="0" applyNumberFormat="1" applyFont="1" applyFill="1" applyBorder="1" applyAlignment="1">
      <x:alignment vertical="center"/>
    </x:xf>
    <x:xf numFmtId="201" fontId="7" fillId="6" borderId="3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3" fontId="3" fillId="0" borderId="2" xfId="0" applyNumberFormat="1" applyFont="1" applyFill="1" applyBorder="1" applyAlignment="1">
      <x:alignment vertical="center"/>
    </x:xf>
    <x:xf numFmtId="203" fontId="3" fillId="0" borderId="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3" fontId="4" fillId="6" borderId="2" xfId="0" applyNumberFormat="1" applyFont="1" applyFill="1" applyBorder="1" applyAlignment="1">
      <x:alignment vertical="center"/>
    </x:xf>
    <x:xf numFmtId="203" fontId="4" fillId="6" borderId="3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a21008ffc467d" /><Relationship Type="http://schemas.openxmlformats.org/officeDocument/2006/relationships/theme" Target="/xl/theme/theme1.xml" Id="Rb6e79a8c295941c6" /><Relationship Type="http://schemas.openxmlformats.org/officeDocument/2006/relationships/sharedStrings" Target="/xl/sharedStrings.xml" Id="R633fad66f8ce4c7b" /><Relationship Type="http://schemas.openxmlformats.org/officeDocument/2006/relationships/worksheet" Target="/xl/worksheets/sheet1.xml" Id="Rb2bf8d7f33e14c11" /><Relationship Type="http://schemas.openxmlformats.org/officeDocument/2006/relationships/worksheet" Target="/xl/worksheets/sheet2.xml" Id="Rf4b24895e5ac4b07" /><Relationship Type="http://schemas.openxmlformats.org/officeDocument/2006/relationships/worksheet" Target="/xl/worksheets/sheet3.xml" Id="R11dc3d077769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1" hidden="0" customWidth="1"/>
    <x:col min="4" max="4" width="10" hidden="0" customWidth="1"/>
    <x:col min="5" max="5" width="12" hidden="0" customWidth="1"/>
    <x:col min="6" max="6" width="15" hidden="0" customWidth="1"/>
    <x:col min="7" max="7" width="11" hidden="0" customWidth="1"/>
    <x:col min="8" max="8" width="15" hidden="0" customWidth="1"/>
    <x:col min="9" max="9" width="12" hidden="0" customWidth="1"/>
    <x:col min="10" max="10" width="12" hidden="0" customWidth="1"/>
    <x:col min="11" max="11" width="18" hidden="0" customWidth="1"/>
    <x:col min="12" max="12" width="22" hidden="0" customWidth="1"/>
    <x:col min="13" max="13" width="18" hidden="0" customWidth="1"/>
    <x:col min="14" max="14" width="23" hidden="0" customWidth="1"/>
    <x:col min="15" max="15" width="20" hidden="0" customWidth="1"/>
    <x:col min="16" max="16" width="15" hidden="0" customWidth="1"/>
    <x:col min="17" max="17" width="20" hidden="0" customWidth="1"/>
    <x:col min="18" max="18" width="25" hidden="0" customWidth="1"/>
  </x:cols>
  <x:sheetData>
    <x:row r="1" ht="32" customHeight="1">
      <x:c r="A1" s="3" t="str">
        <x:v>Assignment and Routing Experiment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37" t="str">
        <x:v>Greedy weighted marginal-cost assignment with route-fit candidate selection; no rider repositioning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</x:row>
    <x:row r="4" ht="46" customHeight="1">
      <x:c r="A4" s="41" t="str">
        <x:v>Scenario</x:v>
      </x:c>
      <x:c r="B4" s="41" t="str">
        <x:v>Dataset</x:v>
      </x:c>
      <x:c r="C4" s="41" t="str">
        <x:v>Orders</x:v>
      </x:c>
      <x:c r="D4" s="41" t="str">
        <x:v>Riders</x:v>
      </x:c>
      <x:c r="E4" s="41" t="str">
        <x:v>Completed</x:v>
      </x:c>
      <x:c r="F4" s="41" t="str">
        <x:v>Completion Rate</x:v>
      </x:c>
      <x:c r="G4" s="41" t="str">
        <x:v>Rejected</x:v>
      </x:c>
      <x:c r="H4" s="41" t="str">
        <x:v>On-time Orders</x:v>
      </x:c>
      <x:c r="I4" s="41" t="str">
        <x:v>OTD Rate</x:v>
      </x:c>
      <x:c r="J4" s="41" t="str">
        <x:v>Late Orders</x:v>
      </x:c>
      <x:c r="K4" s="41" t="str">
        <x:v>Total Lateness (min)</x:v>
      </x:c>
      <x:c r="L4" s="41" t="str">
        <x:v>Avg Lateness / Late Order (min)</x:v>
      </x:c>
      <x:c r="M4" s="41" t="str">
        <x:v>Total Distance (km)</x:v>
      </x:c>
      <x:c r="N4" s="41" t="str">
        <x:v>Distance / Completed Order (km)</x:v>
      </x:c>
      <x:c r="O4" s="41" t="str">
        <x:v>Composite Objective</x:v>
      </x:c>
      <x:c r="P4" s="41" t="str">
        <x:v>Runtime (sec)</x:v>
      </x:c>
      <x:c r="Q4" s="41" t="str">
        <x:v>Throughput (orders/sec)</x:v>
      </x:c>
      <x:c r="R4" s="41" t="str">
        <x:v>Median Assignment-to-Pickup (min)</x:v>
      </x:c>
    </x:row>
    <x:row r="5">
      <x:c r="A5" s="42" t="str">
        <x:v>Small dataset — 120 riders</x:v>
      </x:c>
      <x:c r="B5" s="42" t="str">
        <x:v>2,200-order dataset</x:v>
      </x:c>
      <x:c r="C5" s="50" t="n">
        <x:v>2200</x:v>
      </x:c>
      <x:c r="D5" s="50" t="n">
        <x:v>120</x:v>
      </x:c>
      <x:c r="E5" s="50" t="n">
        <x:v>2200</x:v>
      </x:c>
      <x:c r="F5" s="48" t="n">
        <x:f>E5/C5</x:f>
        <x:v>1</x:v>
      </x:c>
      <x:c r="G5" s="50" t="n">
        <x:v>0</x:v>
      </x:c>
      <x:c r="H5" s="50" t="n">
        <x:v>1868</x:v>
      </x:c>
      <x:c r="I5" s="48" t="n">
        <x:f>H5/C5</x:f>
        <x:v>0.8490909090909091</x:v>
      </x:c>
      <x:c r="J5" s="50" t="n">
        <x:v>332</x:v>
      </x:c>
      <x:c r="K5" s="52" t="n">
        <x:v>8969.809399000967</x:v>
      </x:c>
      <x:c r="L5" s="52" t="n">
        <x:f>IF(J5=0,0,K5/J5)</x:f>
        <x:v>27.01749818976195</x:v>
      </x:c>
      <x:c r="M5" s="52" t="n">
        <x:v>4877.685971013612</x:v>
      </x:c>
      <x:c r="N5" s="52" t="n">
        <x:f>IF(E5=0,0,M5/E5)</x:f>
        <x:v>2.2171299868243692</x:v>
      </x:c>
      <x:c r="O5" s="52" t="n">
        <x:v>82926.73296601845</x:v>
      </x:c>
      <x:c r="P5" s="52" t="n">
        <x:v>9.698741900007008</x:v>
      </x:c>
      <x:c r="Q5" s="52" t="n">
        <x:v>226.8335442557153</x:v>
      </x:c>
      <x:c r="R5" s="52" t="n">
        <x:v>21.517939336058333</x:v>
      </x:c>
    </x:row>
    <x:row r="6">
      <x:c r="A6" s="43" t="str">
        <x:v>Small dataset — 100 riders</x:v>
      </x:c>
      <x:c r="B6" s="43" t="str">
        <x:v>2,200-order dataset</x:v>
      </x:c>
      <x:c r="C6" s="51" t="n">
        <x:v>2200</x:v>
      </x:c>
      <x:c r="D6" s="51" t="n">
        <x:v>100</x:v>
      </x:c>
      <x:c r="E6" s="51" t="n">
        <x:v>2193</x:v>
      </x:c>
      <x:c r="F6" s="49" t="n">
        <x:f>E6/C6</x:f>
        <x:v>0.9968181818181818</x:v>
      </x:c>
      <x:c r="G6" s="51" t="n">
        <x:v>7</x:v>
      </x:c>
      <x:c r="H6" s="51" t="n">
        <x:v>1572</x:v>
      </x:c>
      <x:c r="I6" s="49" t="n">
        <x:f>H6/C6</x:f>
        <x:v>0.7145454545454546</x:v>
      </x:c>
      <x:c r="J6" s="51" t="n">
        <x:v>621</x:v>
      </x:c>
      <x:c r="K6" s="53" t="n">
        <x:v>27102.772814735017</x:v>
      </x:c>
      <x:c r="L6" s="53" t="n">
        <x:f>IF(J6=0,0,K6/J6)</x:f>
        <x:v>43.64375654546701</x:v>
      </x:c>
      <x:c r="M6" s="53" t="n">
        <x:v>4824.716149408439</x:v>
      </x:c>
      <x:c r="N6" s="53" t="n">
        <x:f>IF(E6=0,0,M6/E6)</x:f>
        <x:v>2.200052963706539</x:v>
      </x:c>
      <x:c r="O6" s="53" t="n">
        <x:v>209438.58022308353</x:v>
      </x:c>
      <x:c r="P6" s="53" t="n">
        <x:v>14.83888830000069</x:v>
      </x:c>
      <x:c r="Q6" s="53" t="n">
        <x:v>148.25908488036114</x:v>
      </x:c>
      <x:c r="R6" s="53" t="n">
        <x:v>23.544990579083333</x:v>
      </x:c>
    </x:row>
    <x:row r="7">
      <x:c r="A7" s="43" t="str">
        <x:v>Full dataset — 800 riders</x:v>
      </x:c>
      <x:c r="B7" s="43" t="str">
        <x:v>17,867-order dataset</x:v>
      </x:c>
      <x:c r="C7" s="51" t="n">
        <x:v>17867</x:v>
      </x:c>
      <x:c r="D7" s="51" t="n">
        <x:v>800</x:v>
      </x:c>
      <x:c r="E7" s="51" t="n">
        <x:v>17864</x:v>
      </x:c>
      <x:c r="F7" s="49" t="n">
        <x:f>E7/C7</x:f>
        <x:v>0.999832092684838</x:v>
      </x:c>
      <x:c r="G7" s="51" t="n">
        <x:v>3</x:v>
      </x:c>
      <x:c r="H7" s="51" t="n">
        <x:v>13879</x:v>
      </x:c>
      <x:c r="I7" s="49" t="n">
        <x:f>H7/C7</x:f>
        <x:v>0.7767952090446074</x:v>
      </x:c>
      <x:c r="J7" s="51" t="n">
        <x:v>3985</x:v>
      </x:c>
      <x:c r="K7" s="53" t="n">
        <x:v>117724.67889065247</x:v>
      </x:c>
      <x:c r="L7" s="53" t="n">
        <x:f>IF(J7=0,0,K7/J7)</x:f>
        <x:v>29.54195204282371</x:v>
      </x:c>
      <x:c r="M7" s="53" t="n">
        <x:v>31397.192205524138</x:v>
      </x:c>
      <x:c r="N7" s="53" t="n">
        <x:f>IF(E7=0,0,M7/E7)</x:f>
        <x:v>1.75756785745209</x:v>
      </x:c>
      <x:c r="O7" s="53" t="n">
        <x:v>1021520.5866587865</x:v>
      </x:c>
      <x:c r="P7" s="53" t="n">
        <x:v>181.14617759999237</x:v>
      </x:c>
      <x:c r="Q7" s="53" t="n">
        <x:v>98.63305004124334</x:v>
      </x:c>
      <x:c r="R7" s="53" t="n">
        <x:v>22.09297775298333</x:v>
      </x:c>
    </x:row>
    <x:row r="9" ht="40" customHeight="1">
      <x:c r="A9" s="61" t="str">
        <x:v>Interpretation: rider scarcity mainly reduces on-time performance. OTD falls from 84.91% at 120 riders to 71.45% at 100 riders, while completion remains close to 100% because the composite objective allows limited active rejection.</x:v>
      </x:c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3"/>
    </x:row>
  </x:sheetData>
  <x:mergeCells>
    <x:mergeCell ref="A1:R1"/>
    <x:mergeCell ref="A2:R2"/>
    <x:mergeCell ref="A9:R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20" hidden="0" customWidth="1"/>
    <x:col min="4" max="4" width="19" hidden="0" customWidth="1"/>
    <x:col min="5" max="5" width="24" hidden="0" customWidth="1"/>
    <x:col min="6" max="6" width="20" hidden="0" customWidth="1"/>
    <x:col min="7" max="7" width="19" hidden="0" customWidth="1"/>
    <x:col min="8" max="8" width="24" hidden="0" customWidth="1"/>
    <x:col min="9" max="9" width="22" hidden="0" customWidth="1"/>
    <x:col min="10" max="10" width="20" hidden="0" customWidth="1"/>
    <x:col min="11" max="11" width="22" hidden="0" customWidth="1"/>
    <x:col min="12" max="12" width="16" hidden="0" customWidth="1"/>
    <x:col min="13" max="13" width="16" hidden="0" customWidth="1"/>
    <x:col min="14" max="14" width="22" hidden="0" customWidth="1"/>
    <x:col min="15" max="15" width="23" hidden="0" customWidth="1"/>
    <x:col min="16" max="16" width="25" hidden="0" customWidth="1"/>
    <x:col min="17" max="17" width="23" hidden="0" customWidth="1"/>
    <x:col min="18" max="18" width="23" hidden="0" customWidth="1"/>
    <x:col min="19" max="19" width="24" hidden="0" customWidth="1"/>
    <x:col min="20" max="20" width="21" hidden="0" customWidth="1"/>
    <x:col min="21" max="21" width="18" hidden="0" customWidth="1"/>
    <x:col min="22" max="22" width="12" hidden="0" customWidth="1"/>
  </x:cols>
  <x:sheetData>
    <x:row r="1" ht="32" customHeight="1">
      <x:c r="A1" s="3" t="str">
        <x:v>Algorithm Diagnostics and Objective Reconciliation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3" ht="58" customHeight="1">
      <x:c r="A3" s="41" t="str">
        <x:v>Scenario</x:v>
      </x:c>
      <x:c r="B3" s="41" t="str">
        <x:v>Assigned</x:v>
      </x:c>
      <x:c r="C3" s="41" t="str">
        <x:v>Mean Assignment Wait (min)</x:v>
      </x:c>
      <x:c r="D3" s="41" t="str">
        <x:v>P90 Assignment Wait (min)</x:v>
      </x:c>
      <x:c r="E3" s="41" t="str">
        <x:v>P90 Assignment-to-Pickup (min)</x:v>
      </x:c>
      <x:c r="F3" s="41" t="str">
        <x:v>Max Active Orders Observed</x:v>
      </x:c>
      <x:c r="G3" s="41" t="str">
        <x:v>Riders Reaching Limit</x:v>
      </x:c>
      <x:c r="H3" s="41" t="str">
        <x:v>Mean Active Orders at Assignment</x:v>
      </x:c>
      <x:c r="I3" s="41" t="str">
        <x:v>Route-fit Rider Evaluations</x:v>
      </x:c>
      <x:c r="J3" s="41" t="str">
        <x:v>High-risk Expanded Orders</x:v>
      </x:c>
      <x:c r="K3" s="41" t="str">
        <x:v>Route Optimization Attempts</x:v>
      </x:c>
      <x:c r="L3" s="41" t="str">
        <x:v>Improved Routes</x:v>
      </x:c>
      <x:c r="M3" s="41" t="str">
        <x:v>Accepted Moves</x:v>
      </x:c>
      <x:c r="N3" s="41" t="str">
        <x:v>Route Candidates Evaluated</x:v>
      </x:c>
      <x:c r="O3" s="41" t="str">
        <x:v>Projected Distance Reduction (km)</x:v>
      </x:c>
      <x:c r="P3" s="41" t="str">
        <x:v>Projected Lateness Reduction (min)</x:v>
      </x:c>
      <x:c r="Q3" s="41" t="str">
        <x:v>Projected Late Orders Reduced</x:v>
      </x:c>
      <x:c r="R3" s="41" t="str">
        <x:v>Projected Objective Reduction</x:v>
      </x:c>
      <x:c r="S3" s="41" t="str">
        <x:v>Route Optimization Runtime (sec)</x:v>
      </x:c>
      <x:c r="T3" s="41" t="str">
        <x:v>Objective Formula Check</x:v>
      </x:c>
      <x:c r="U3" s="41" t="str">
        <x:v>Objective Difference</x:v>
      </x:c>
      <x:c r="V3" s="41" t="str">
        <x:v>Source Row</x:v>
      </x:c>
    </x:row>
    <x:row r="4">
      <x:c r="A4" s="64" t="str">
        <x:v>Small dataset — 120 riders</x:v>
      </x:c>
      <x:c r="B4" s="66" t="n">
        <x:v>2200</x:v>
      </x:c>
      <x:c r="C4" s="68" t="n">
        <x:v>0</x:v>
      </x:c>
      <x:c r="D4" s="68" t="n">
        <x:v>0</x:v>
      </x:c>
      <x:c r="E4" s="68" t="n">
        <x:v>38.471878897068336</x:v>
      </x:c>
      <x:c r="F4" s="66" t="n">
        <x:v>8</x:v>
      </x:c>
      <x:c r="G4" s="66" t="n">
        <x:v>27</x:v>
      </x:c>
      <x:c r="H4" s="70" t="n">
        <x:v>4.231363636363636</x:v>
      </x:c>
      <x:c r="I4" s="66" t="n">
        <x:v>304052</x:v>
      </x:c>
      <x:c r="J4" s="66" t="n">
        <x:v>354</x:v>
      </x:c>
      <x:c r="K4" s="66" t="n">
        <x:v>1023</x:v>
      </x:c>
      <x:c r="L4" s="66" t="n">
        <x:v>218</x:v>
      </x:c>
      <x:c r="M4" s="66" t="n">
        <x:v>256</x:v>
      </x:c>
      <x:c r="N4" s="66" t="n">
        <x:v>43225</x:v>
      </x:c>
      <x:c r="O4" s="68" t="n">
        <x:v>113.66605819331203</x:v>
      </x:c>
      <x:c r="P4" s="68" t="n">
        <x:v>690.859731404867</x:v>
      </x:c>
      <x:c r="Q4" s="66" t="n">
        <x:v>73</x:v>
      </x:c>
      <x:c r="R4" s="68" t="n">
        <x:v>8491.321799732623</x:v>
      </x:c>
      <x:c r="S4" s="68" t="n">
        <x:v>1.2000982002937235</x:v>
      </x:c>
      <x:c r="T4" s="72" t="n">
        <x:f>'Configuration &amp; Sources'!$B$4*Summary!M5+'Configuration &amp; Sources'!$B$5*Summary!G5+'Configuration &amp; Sources'!$B$6*Summary!K5+'Configuration &amp; Sources'!$B$7*Summary!J5</x:f>
        <x:v>82926.73296601845</x:v>
      </x:c>
      <x:c r="U4" s="72" t="n">
        <x:f>Summary!O5-T4</x:f>
        <x:v>0</x:v>
      </x:c>
      <x:c r="V4" s="64" t="n">
        <x:v>2</x:v>
      </x:c>
    </x:row>
    <x:row r="5">
      <x:c r="A5" s="65" t="str">
        <x:v>Small dataset — 100 riders</x:v>
      </x:c>
      <x:c r="B5" s="67" t="n">
        <x:v>2193</x:v>
      </x:c>
      <x:c r="C5" s="69" t="n">
        <x:v>0</x:v>
      </x:c>
      <x:c r="D5" s="69" t="n">
        <x:v>0</x:v>
      </x:c>
      <x:c r="E5" s="69" t="n">
        <x:v>57.42237924188666</x:v>
      </x:c>
      <x:c r="F5" s="67" t="n">
        <x:v>8</x:v>
      </x:c>
      <x:c r="G5" s="67" t="n">
        <x:v>90</x:v>
      </x:c>
      <x:c r="H5" s="71" t="n">
        <x:v>5.324669402644779</x:v>
      </x:c>
      <x:c r="I5" s="67" t="n">
        <x:v>257878</x:v>
      </x:c>
      <x:c r="J5" s="67" t="n">
        <x:v>630</x:v>
      </x:c>
      <x:c r="K5" s="67" t="n">
        <x:v>1406</x:v>
      </x:c>
      <x:c r="L5" s="67" t="n">
        <x:v>443</x:v>
      </x:c>
      <x:c r="M5" s="67" t="n">
        <x:v>585</x:v>
      </x:c>
      <x:c r="N5" s="67" t="n">
        <x:v>92348</x:v>
      </x:c>
      <x:c r="O5" s="69" t="n">
        <x:v>362.75802186183427</x:v>
      </x:c>
      <x:c r="P5" s="69" t="n">
        <x:v>4067.8472874526005</x:v>
      </x:c>
      <x:c r="Q5" s="67" t="n">
        <x:v>98</x:v>
      </x:c>
      <x:c r="R5" s="69" t="n">
        <x:v>27310.065470421217</x:v>
      </x:c>
      <x:c r="S5" s="69" t="n">
        <x:v>3.119900800578762</x:v>
      </x:c>
      <x:c r="T5" s="73" t="n">
        <x:f>'Configuration &amp; Sources'!$B$4*Summary!M6+'Configuration &amp; Sources'!$B$5*Summary!G6+'Configuration &amp; Sources'!$B$6*Summary!K6+'Configuration &amp; Sources'!$B$7*Summary!J6</x:f>
        <x:v>209438.58022308353</x:v>
      </x:c>
      <x:c r="U5" s="73" t="n">
        <x:f>Summary!O6-T5</x:f>
        <x:v>0</x:v>
      </x:c>
      <x:c r="V5" s="65" t="n">
        <x:v>3</x:v>
      </x:c>
    </x:row>
    <x:row r="6">
      <x:c r="A6" s="65" t="str">
        <x:v>Full dataset — 800 riders</x:v>
      </x:c>
      <x:c r="B6" s="67" t="n">
        <x:v>17864</x:v>
      </x:c>
      <x:c r="C6" s="69" t="n">
        <x:v>0</x:v>
      </x:c>
      <x:c r="D6" s="69" t="n">
        <x:v>0</x:v>
      </x:c>
      <x:c r="E6" s="69" t="n">
        <x:v>45.25370604774167</x:v>
      </x:c>
      <x:c r="F6" s="67" t="n">
        <x:v>8</x:v>
      </x:c>
      <x:c r="G6" s="67" t="n">
        <x:v>619</x:v>
      </x:c>
      <x:c r="H6" s="71" t="n">
        <x:v>5.216300940438871</x:v>
      </x:c>
      <x:c r="I6" s="67" t="n">
        <x:v>5711872</x:v>
      </x:c>
      <x:c r="J6" s="67" t="n">
        <x:v>4445</x:v>
      </x:c>
      <x:c r="K6" s="67" t="n">
        <x:v>9935</x:v>
      </x:c>
      <x:c r="L6" s="67" t="n">
        <x:v>3063</x:v>
      </x:c>
      <x:c r="M6" s="67" t="n">
        <x:v>3912</x:v>
      </x:c>
      <x:c r="N6" s="67" t="n">
        <x:v>618924</x:v>
      </x:c>
      <x:c r="O6" s="69" t="n">
        <x:v>1824.2758346346927</x:v>
      </x:c>
      <x:c r="P6" s="69" t="n">
        <x:v>16777.258163591043</x:v>
      </x:c>
      <x:c r="Q6" s="67" t="n">
        <x:v>943</x:v>
      </x:c>
      <x:c r="R6" s="69" t="n">
        <x:v>148140.54620661752</x:v>
      </x:c>
      <x:c r="S6" s="69" t="n">
        <x:v>19.199497002438875</x:v>
      </x:c>
      <x:c r="T6" s="73" t="n">
        <x:f>'Configuration &amp; Sources'!$B$4*Summary!M7+'Configuration &amp; Sources'!$B$5*Summary!G7+'Configuration &amp; Sources'!$B$6*Summary!K7+'Configuration &amp; Sources'!$B$7*Summary!J7</x:f>
        <x:v>1021520.5866587865</x:v>
      </x:c>
      <x:c r="U6" s="73" t="n">
        <x:f>Summary!O7-T6</x:f>
        <x:v>0</x:v>
      </x:c>
      <x:c r="V6" s="65" t="n">
        <x:v>4</x:v>
      </x:c>
    </x:row>
    <x:row r="8" ht="34" customHeight="1">
      <x:c r="A8" s="76" t="str">
        <x:v>The objective check uses live formula references to the Configuration sheet. A zero objective difference confirms consistency with the reported composite objective.</x:v>
      </x:c>
      <x:c r="B8" s="76"/>
      <x:c r="C8" s="76"/>
      <x:c r="D8" s="76"/>
      <x:c r="E8" s="76"/>
      <x:c r="F8" s="76"/>
      <x:c r="G8" s="76"/>
      <x:c r="H8" s="76"/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</x:row>
  </x:sheetData>
  <x:mergeCells>
    <x:mergeCell ref="A1:V1"/>
    <x:mergeCell ref="A8:V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3" hidden="0" customWidth="1"/>
    <x:col min="3" max="3" width="20" hidden="0" customWidth="1"/>
    <x:col min="4" max="4" width="58" hidden="0" customWidth="1"/>
  </x:cols>
  <x:sheetData>
    <x:row r="1" ht="30" customHeight="1">
      <x:c r="A1" s="3" t="str">
        <x:v>Algorithm Configuration and Data Sources</x:v>
      </x:c>
      <x:c r="B1" s="3"/>
      <x:c r="C1" s="3"/>
      <x:c r="D1" s="3"/>
    </x:row>
    <x:row r="3">
      <x:c r="A3" s="8" t="str">
        <x:v>Parameter</x:v>
      </x:c>
      <x:c r="B3" s="8" t="str">
        <x:v>Value</x:v>
      </x:c>
      <x:c r="C3" s="8" t="str">
        <x:v>Unit / Type</x:v>
      </x:c>
      <x:c r="D3" s="8" t="str">
        <x:v>Description</x:v>
      </x:c>
    </x:row>
    <x:row r="4">
      <x:c r="A4" s="14" t="str">
        <x:v>Distance weight</x:v>
      </x:c>
      <x:c r="B4" s="16" t="n">
        <x:v>1</x:v>
      </x:c>
      <x:c r="C4" s="14" t="str">
        <x:v>cost / km</x:v>
      </x:c>
      <x:c r="D4" s="14" t="str">
        <x:v>Weight applied to total Manhattan travel distance</x:v>
      </x:c>
    </x:row>
    <x:row r="5">
      <x:c r="A5" s="15" t="str">
        <x:v>Unserved-order penalty</x:v>
      </x:c>
      <x:c r="B5" s="17" t="n">
        <x:v>1000</x:v>
      </x:c>
      <x:c r="C5" s="15" t="str">
        <x:v>cost / order</x:v>
      </x:c>
      <x:c r="D5" s="15" t="str">
        <x:v>Penalty for rejected or otherwise unserved orders</x:v>
      </x:c>
    </x:row>
    <x:row r="6">
      <x:c r="A6" s="15" t="str">
        <x:v>Lateness-minute weight</x:v>
      </x:c>
      <x:c r="B6" s="17" t="n">
        <x:v>5</x:v>
      </x:c>
      <x:c r="C6" s="15" t="str">
        <x:v>cost / minute</x:v>
      </x:c>
      <x:c r="D6" s="15" t="str">
        <x:v>Penalty for each completed-order late minute</x:v>
      </x:c>
    </x:row>
    <x:row r="7">
      <x:c r="A7" s="15" t="str">
        <x:v>Late-order weight</x:v>
      </x:c>
      <x:c r="B7" s="17" t="n">
        <x:v>100</x:v>
      </x:c>
      <x:c r="C7" s="15" t="str">
        <x:v>cost / order</x:v>
      </x:c>
      <x:c r="D7" s="15" t="str">
        <x:v>Fixed penalty for each late completed order</x:v>
      </x:c>
    </x:row>
    <x:row r="8">
      <x:c r="A8" s="15" t="str">
        <x:v>Travel speed</x:v>
      </x:c>
      <x:c r="B8" s="17" t="n">
        <x:v>20</x:v>
      </x:c>
      <x:c r="C8" s="15" t="str">
        <x:v>km/h</x:v>
      </x:c>
      <x:c r="D8" s="15" t="str">
        <x:v>Constant effective rider speed</x:v>
      </x:c>
    </x:row>
    <x:row r="9">
      <x:c r="A9" s="15" t="str">
        <x:v>Distance metric</x:v>
      </x:c>
      <x:c r="B9" s="17" t="str">
        <x:v>Manhattan</x:v>
      </x:c>
      <x:c r="C9" s="15" t="str">
        <x:v>text</x:v>
      </x:c>
      <x:c r="D9" s="15" t="str">
        <x:v>Absolute latitude difference plus absolute longitude difference, converted to km</x:v>
      </x:c>
    </x:row>
    <x:row r="10">
      <x:c r="A10" s="15" t="str">
        <x:v>Maximum active orders</x:v>
      </x:c>
      <x:c r="B10" s="17" t="n">
        <x:v>8</x:v>
      </x:c>
      <x:c r="C10" s="15" t="str">
        <x:v>orders / rider</x:v>
      </x:c>
      <x:c r="D10" s="15" t="str">
        <x:v>Concurrent carried-order capacity</x:v>
      </x:c>
    </x:row>
    <x:row r="11">
      <x:c r="A11" s="15" t="str">
        <x:v>Candidate rider mix</x:v>
      </x:c>
      <x:c r="B11" s="17" t="str">
        <x:v>4 + 2 + 2</x:v>
      </x:c>
      <x:c r="C11" s="15" t="str">
        <x:v>riders</x:v>
      </x:c>
      <x:c r="D11" s="15" t="str">
        <x:v>4 route-fit + 2 lowest-load + 2 earliest-pickup candidates</x:v>
      </x:c>
    </x:row>
    <x:row r="12">
      <x:c r="A12" s="15" t="str">
        <x:v>Normal insertion search</x:v>
      </x:c>
      <x:c r="B12" s="17" t="str">
        <x:v>3 × 3</x:v>
      </x:c>
      <x:c r="C12" s="15" t="str">
        <x:v>positions</x:v>
      </x:c>
      <x:c r="D12" s="15" t="str">
        <x:v>Up to 3 pickup positions and 3 delivery positions per pickup position</x:v>
      </x:c>
    </x:row>
    <x:row r="13">
      <x:c r="A13" s="15" t="str">
        <x:v>High-risk candidate riders</x:v>
      </x:c>
      <x:c r="B13" s="17" t="n">
        <x:v>12</x:v>
      </x:c>
      <x:c r="C13" s="15" t="str">
        <x:v>riders</x:v>
      </x:c>
      <x:c r="D13" s="15" t="str">
        <x:v>Expanded rider set for deadline-sensitive orders</x:v>
      </x:c>
    </x:row>
    <x:row r="14">
      <x:c r="A14" s="15" t="str">
        <x:v>High-risk insertion search</x:v>
      </x:c>
      <x:c r="B14" s="17" t="str">
        <x:v>4 × 4</x:v>
      </x:c>
      <x:c r="C14" s="15" t="str">
        <x:v>positions</x:v>
      </x:c>
      <x:c r="D14" s="15" t="str">
        <x:v>Expanded insertion search for high-risk orders</x:v>
      </x:c>
    </x:row>
    <x:row r="15">
      <x:c r="A15" s="15" t="str">
        <x:v>Ready-time buffer</x:v>
      </x:c>
      <x:c r="B15" s="17" t="n">
        <x:v>0</x:v>
      </x:c>
      <x:c r="C15" s="15" t="str">
        <x:v>minutes</x:v>
      </x:c>
      <x:c r="D15" s="15" t="str">
        <x:v>No additional pickup readiness buffer</x:v>
      </x:c>
    </x:row>
    <x:row r="16">
      <x:c r="A16" s="15" t="str">
        <x:v>Active rejection</x:v>
      </x:c>
      <x:c r="B16" s="17" t="str">
        <x:v>Enabled</x:v>
      </x:c>
      <x:c r="C16" s="15" t="str">
        <x:v>boolean</x:v>
      </x:c>
      <x:c r="D16" s="15" t="str">
        <x:v>Reject only when accepting the order creates excessive weighted system cost</x:v>
      </x:c>
    </x:row>
    <x:row r="17">
      <x:c r="A17" s="15" t="str">
        <x:v>Intra-rider route optimization</x:v>
      </x:c>
      <x:c r="B17" s="17" t="str">
        <x:v>Enabled</x:v>
      </x:c>
      <x:c r="C17" s="15" t="str">
        <x:v>boolean</x:v>
      </x:c>
      <x:c r="D17" s="15" t="str">
        <x:v>Selective local route improvement after assignment</x:v>
      </x:c>
    </x:row>
    <x:row r="18">
      <x:c r="A18" s="15" t="str">
        <x:v>Repositioning</x:v>
      </x:c>
      <x:c r="B18" s="17" t="str">
        <x:v>Disabled</x:v>
      </x:c>
      <x:c r="C18" s="15" t="str">
        <x:v>boolean</x:v>
      </x:c>
      <x:c r="D18" s="15" t="str">
        <x:v>All reported experiments are assignment-and-routing only</x:v>
      </x:c>
    </x:row>
    <x:row r="19">
      <x:c r="A19" s="15" t="str">
        <x:v>Objective type</x:v>
      </x:c>
      <x:c r="B19" s="17" t="str">
        <x:v>Weighted system marginal cost</x:v>
      </x:c>
      <x:c r="C19" s="15" t="str">
        <x:v>text</x:v>
      </x:c>
      <x:c r="D19" s="15" t="str">
        <x:v>Greedy selection minimizes the incremental composite system objective</x:v>
      </x:c>
    </x:row>
    <x:row r="20">
      <x:c r="A20" s="15" t="str">
        <x:v>Order release field</x:v>
      </x:c>
      <x:c r="B20" s="17" t="str">
        <x:v>order_push_time</x:v>
      </x:c>
      <x:c r="C20" s="15" t="str">
        <x:v>column</x:v>
      </x:c>
      <x:c r="D20" s="15" t="str">
        <x:v>Order becomes available for assignment</x:v>
      </x:c>
    </x:row>
    <x:row r="21">
      <x:c r="A21" s="15" t="str">
        <x:v>Deadline field</x:v>
      </x:c>
      <x:c r="B21" s="17" t="str">
        <x:v>estimate_arrived_time</x:v>
      </x:c>
      <x:c r="C21" s="15" t="str">
        <x:v>column</x:v>
      </x:c>
      <x:c r="D21" s="15" t="str">
        <x:v>Expected delivery time used as the deadline</x:v>
      </x:c>
    </x:row>
    <x:row r="22">
      <x:c r="A22" s="15" t="str">
        <x:v>Rider availability</x:v>
      </x:c>
      <x:c r="B22" s="17" t="str">
        <x:v>Full-period online</x:v>
      </x:c>
      <x:c r="C22" s="15" t="str">
        <x:v>assumption</x:v>
      </x:c>
      <x:c r="D22" s="15" t="str">
        <x:v>All selected riders are online throughout the experiment</x:v>
      </x:c>
    </x:row>
    <x:row r="24" ht="42" customHeight="1">
      <x:c r="A24" s="26" t="str">
        <x:v>Composite objective = Distance weight × Total distance + Unserved-order penalty × Rejected orders + Lateness-minute weight × Total lateness + Late-order weight × Late orders</x:v>
      </x:c>
      <x:c r="B24" s="27"/>
      <x:c r="C24" s="27"/>
      <x:c r="D24" s="28"/>
    </x:row>
    <x:row r="26">
      <x:c r="A26" s="8" t="str">
        <x:v>Scenario</x:v>
      </x:c>
      <x:c r="B26" s="8" t="str">
        <x:v>Source metrics file</x:v>
      </x:c>
      <x:c r="C26" s="8" t="str">
        <x:v>Data status</x:v>
      </x:c>
      <x:c r="D26" s="8" t="str">
        <x:v>Notes</x:v>
      </x:c>
    </x:row>
    <x:row r="27" ht="54" customHeight="1">
      <x:c r="A27" s="34" t="str">
        <x:v>Small dataset — 120 riders</x:v>
      </x:c>
      <x:c r="B27" s="34" t="str">
        <x:v>outputs/fleet_4_2_2_positions_3_4/fleet_120/metrics.csv</x:v>
      </x:c>
      <x:c r="C27" s="34" t="str">
        <x:v>Original experiment output</x:v>
      </x:c>
      <x:c r="D27" s="34" t="str">
        <x:v>Exact numeric values copied from metrics.csv; derived fields in Summary are formula-driven</x:v>
      </x:c>
    </x:row>
    <x:row r="28" ht="54" customHeight="1">
      <x:c r="A28" s="35" t="str">
        <x:v>Small dataset — 100 riders</x:v>
      </x:c>
      <x:c r="B28" s="35" t="str">
        <x:v>outputs/fleet_4_2_2_positions_3_4/fleet_100/metrics.csv</x:v>
      </x:c>
      <x:c r="C28" s="35" t="str">
        <x:v>Original experiment output</x:v>
      </x:c>
      <x:c r="D28" s="35" t="str">
        <x:v>Exact numeric values copied from metrics.csv; derived fields in Summary are formula-driven</x:v>
      </x:c>
    </x:row>
    <x:row r="29" ht="54" customHeight="1">
      <x:c r="A29" s="35" t="str">
        <x:v>Full dataset — 800 riders</x:v>
      </x:c>
      <x:c r="B29" s="35" t="str">
        <x:v>outputs/full_zones_800_route_fit256/metrics.csv</x:v>
      </x:c>
      <x:c r="C29" s="35" t="str">
        <x:v>Original experiment output</x:v>
      </x:c>
      <x:c r="D29" s="35" t="str">
        <x:v>Exact numeric values copied from metrics.csv; derived fields in Summary are formula-driven</x:v>
      </x:c>
    </x:row>
  </x:sheetData>
  <x:mergeCells>
    <x:mergeCell ref="A1:D1"/>
    <x:mergeCell ref="A24:D24"/>
  </x:mergeCells>
  <x:pageMargins left="0.7" right="0.7" top="0.75" bottom="0.75" header="0.3" footer="0.3"/>
</x:worksheet>
</file>